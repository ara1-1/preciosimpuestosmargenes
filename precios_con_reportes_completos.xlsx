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D034250-D2F8-4E7B-A68B-C7498D7FC4CC}" xr6:coauthVersionLast="47" xr6:coauthVersionMax="47" xr10:uidLastSave="{00000000-0000-0000-0000-000000000000}"/>
  <bookViews>
    <workbookView xWindow="780" yWindow="780" windowWidth="15375" windowHeight="9060" xr2:uid="{00000000-000D-0000-FFFF-FFFF00000000}"/>
  </bookViews>
  <sheets>
    <sheet name="Precios_Impuestos" sheetId="1" r:id="rId1"/>
    <sheet name="Repor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  <c r="B2" i="2" l="1"/>
  <c r="H2" i="1"/>
  <c r="F2" i="1"/>
  <c r="H3" i="1"/>
  <c r="F3" i="1"/>
  <c r="I3" i="1" s="1"/>
  <c r="H4" i="1"/>
  <c r="F4" i="1"/>
  <c r="I4" i="1" s="1"/>
  <c r="H5" i="1"/>
  <c r="F5" i="1"/>
  <c r="I5" i="1" s="1"/>
  <c r="H6" i="1"/>
  <c r="F6" i="1"/>
  <c r="I6" i="1" s="1"/>
  <c r="H7" i="1"/>
  <c r="F7" i="1"/>
  <c r="I7" i="1" s="1"/>
  <c r="H8" i="1"/>
  <c r="F8" i="1"/>
  <c r="I8" i="1" s="1"/>
  <c r="H9" i="1"/>
  <c r="F9" i="1"/>
  <c r="I9" i="1" s="1"/>
  <c r="H10" i="1"/>
  <c r="F10" i="1"/>
  <c r="I10" i="1" s="1"/>
  <c r="H11" i="1"/>
  <c r="F11" i="1"/>
  <c r="I11" i="1" s="1"/>
  <c r="I2" i="1" l="1"/>
  <c r="B5" i="2" s="1"/>
  <c r="B3" i="2"/>
  <c r="B6" i="2"/>
</calcChain>
</file>

<file path=xl/sharedStrings.xml><?xml version="1.0" encoding="utf-8"?>
<sst xmlns="http://schemas.openxmlformats.org/spreadsheetml/2006/main" count="25" uniqueCount="25">
  <si>
    <t>Producto</t>
  </si>
  <si>
    <t>Precio_Base</t>
  </si>
  <si>
    <t>Impuesto</t>
  </si>
  <si>
    <t>Precio_Final</t>
  </si>
  <si>
    <t>Descuento</t>
  </si>
  <si>
    <t>Costo</t>
  </si>
  <si>
    <t>Margen</t>
  </si>
  <si>
    <t>Utilidad</t>
  </si>
  <si>
    <t>Producto 1</t>
  </si>
  <si>
    <t>Producto 2</t>
  </si>
  <si>
    <t>Producto 3</t>
  </si>
  <si>
    <t>Producto 4</t>
  </si>
  <si>
    <t>Producto 5</t>
  </si>
  <si>
    <t>Producto 6</t>
  </si>
  <si>
    <t>Producto 7</t>
  </si>
  <si>
    <t>Producto 8</t>
  </si>
  <si>
    <t>Producto 9</t>
  </si>
  <si>
    <t>Producto 10</t>
  </si>
  <si>
    <t>Métrica</t>
  </si>
  <si>
    <t>Valor</t>
  </si>
  <si>
    <t>Total de Ventas</t>
  </si>
  <si>
    <t>Total de Descuentos Aplicados</t>
  </si>
  <si>
    <t>Total de Costos</t>
  </si>
  <si>
    <t>Utilidad Total</t>
  </si>
  <si>
    <t>Margen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</si>
</sst>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baseColWidth="10" defaultColWidth="9.140625" defaultRowHeight="15" x14ac:dyDescent="0.25"/>
  <cols>
    <col min="2" max="2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7.0000000000000007E-2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>
        <v>50.13</v>
      </c>
      <c r="C2">
        <f t="shared" ref="C2:C11" si="0">$F$1</f>
        <v>7.0000000000000007E-2</v>
      </c>
      <c r="D2">
        <f t="shared" ref="D2:D11" si="1">B2*(1+$F$1)</f>
        <v>53.639100000000006</v>
      </c>
      <c r="E2">
        <v>0.11</v>
      </c>
      <c r="F2">
        <f t="shared" ref="F2:F11" si="2">D2*(1-E2)</f>
        <v>47.738799000000007</v>
      </c>
      <c r="G2">
        <v>31.66</v>
      </c>
      <c r="H2">
        <f t="shared" ref="H2:H11" si="3">D2-G2</f>
        <v>21.979100000000006</v>
      </c>
      <c r="I2">
        <f t="shared" ref="I2:I11" si="4">F2-G2</f>
        <v>16.078799000000007</v>
      </c>
    </row>
    <row r="3" spans="1:9" x14ac:dyDescent="0.25">
      <c r="A3" t="s">
        <v>9</v>
      </c>
      <c r="B3">
        <v>92.72</v>
      </c>
      <c r="C3">
        <f t="shared" si="0"/>
        <v>7.0000000000000007E-2</v>
      </c>
      <c r="D3">
        <f t="shared" si="1"/>
        <v>99.210400000000007</v>
      </c>
      <c r="E3">
        <v>0.14000000000000001</v>
      </c>
      <c r="F3">
        <f t="shared" si="2"/>
        <v>85.320944000000011</v>
      </c>
      <c r="G3">
        <v>39.56</v>
      </c>
      <c r="H3">
        <f t="shared" si="3"/>
        <v>59.650400000000005</v>
      </c>
      <c r="I3">
        <f t="shared" si="4"/>
        <v>45.760944000000009</v>
      </c>
    </row>
    <row r="4" spans="1:9" x14ac:dyDescent="0.25">
      <c r="A4" t="s">
        <v>10</v>
      </c>
      <c r="B4">
        <v>68.8</v>
      </c>
      <c r="C4">
        <f t="shared" si="0"/>
        <v>7.0000000000000007E-2</v>
      </c>
      <c r="D4">
        <f t="shared" si="1"/>
        <v>73.616</v>
      </c>
      <c r="E4">
        <v>0.16</v>
      </c>
      <c r="F4">
        <f t="shared" si="2"/>
        <v>61.837440000000001</v>
      </c>
      <c r="G4">
        <v>13.56</v>
      </c>
      <c r="H4">
        <f t="shared" si="3"/>
        <v>60.055999999999997</v>
      </c>
      <c r="I4">
        <f t="shared" si="4"/>
        <v>48.277439999999999</v>
      </c>
    </row>
    <row r="5" spans="1:9" x14ac:dyDescent="0.25">
      <c r="A5" t="s">
        <v>11</v>
      </c>
      <c r="B5">
        <v>62.76</v>
      </c>
      <c r="C5">
        <f t="shared" si="0"/>
        <v>7.0000000000000007E-2</v>
      </c>
      <c r="D5">
        <f t="shared" si="1"/>
        <v>67.153199999999998</v>
      </c>
      <c r="E5">
        <v>0.16</v>
      </c>
      <c r="F5">
        <f t="shared" si="2"/>
        <v>56.408687999999998</v>
      </c>
      <c r="G5">
        <v>5.0999999999999996</v>
      </c>
      <c r="H5">
        <f t="shared" si="3"/>
        <v>62.053199999999997</v>
      </c>
      <c r="I5">
        <f t="shared" si="4"/>
        <v>51.308687999999997</v>
      </c>
    </row>
    <row r="6" spans="1:9" x14ac:dyDescent="0.25">
      <c r="A6" t="s">
        <v>12</v>
      </c>
      <c r="B6">
        <v>69.67</v>
      </c>
      <c r="C6">
        <f t="shared" si="0"/>
        <v>7.0000000000000007E-2</v>
      </c>
      <c r="D6">
        <f t="shared" si="1"/>
        <v>74.546900000000008</v>
      </c>
      <c r="E6">
        <v>0.15</v>
      </c>
      <c r="F6">
        <f t="shared" si="2"/>
        <v>63.364865000000002</v>
      </c>
      <c r="G6">
        <v>34.61</v>
      </c>
      <c r="H6">
        <f t="shared" si="3"/>
        <v>39.936900000000009</v>
      </c>
      <c r="I6">
        <f t="shared" si="4"/>
        <v>28.754865000000002</v>
      </c>
    </row>
    <row r="7" spans="1:9" x14ac:dyDescent="0.25">
      <c r="A7" t="s">
        <v>13</v>
      </c>
      <c r="B7">
        <v>91.7</v>
      </c>
      <c r="C7">
        <f t="shared" si="0"/>
        <v>7.0000000000000007E-2</v>
      </c>
      <c r="D7">
        <f t="shared" si="1"/>
        <v>98.119000000000014</v>
      </c>
      <c r="E7">
        <v>0.19</v>
      </c>
      <c r="F7">
        <f t="shared" si="2"/>
        <v>79.476390000000023</v>
      </c>
      <c r="G7">
        <v>23.99</v>
      </c>
      <c r="H7">
        <f t="shared" si="3"/>
        <v>74.129000000000019</v>
      </c>
      <c r="I7">
        <f t="shared" si="4"/>
        <v>55.486390000000029</v>
      </c>
    </row>
    <row r="8" spans="1:9" x14ac:dyDescent="0.25">
      <c r="A8" t="s">
        <v>14</v>
      </c>
      <c r="B8">
        <v>50.99</v>
      </c>
      <c r="C8">
        <f t="shared" si="0"/>
        <v>7.0000000000000007E-2</v>
      </c>
      <c r="D8">
        <f t="shared" si="1"/>
        <v>54.559300000000007</v>
      </c>
      <c r="E8">
        <v>0.16</v>
      </c>
      <c r="F8">
        <f t="shared" si="2"/>
        <v>45.829812000000004</v>
      </c>
      <c r="G8">
        <v>17.22</v>
      </c>
      <c r="H8">
        <f t="shared" si="3"/>
        <v>37.339300000000009</v>
      </c>
      <c r="I8">
        <f t="shared" si="4"/>
        <v>28.609812000000005</v>
      </c>
    </row>
    <row r="9" spans="1:9" x14ac:dyDescent="0.25">
      <c r="A9" t="s">
        <v>15</v>
      </c>
      <c r="B9">
        <v>63.33</v>
      </c>
      <c r="C9">
        <f t="shared" si="0"/>
        <v>7.0000000000000007E-2</v>
      </c>
      <c r="D9">
        <f t="shared" si="1"/>
        <v>67.763100000000009</v>
      </c>
      <c r="E9">
        <v>0.13</v>
      </c>
      <c r="F9">
        <f t="shared" si="2"/>
        <v>58.953897000000005</v>
      </c>
      <c r="G9">
        <v>27.42</v>
      </c>
      <c r="H9">
        <f t="shared" si="3"/>
        <v>40.343100000000007</v>
      </c>
      <c r="I9">
        <f t="shared" si="4"/>
        <v>31.533897000000003</v>
      </c>
    </row>
    <row r="10" spans="1:9" x14ac:dyDescent="0.25">
      <c r="A10" t="s">
        <v>16</v>
      </c>
      <c r="B10">
        <v>10.65</v>
      </c>
      <c r="C10">
        <f t="shared" si="0"/>
        <v>7.0000000000000007E-2</v>
      </c>
      <c r="D10">
        <f t="shared" si="1"/>
        <v>11.3955</v>
      </c>
      <c r="E10">
        <v>0.06</v>
      </c>
      <c r="F10">
        <f t="shared" si="2"/>
        <v>10.71177</v>
      </c>
      <c r="G10">
        <v>6.64</v>
      </c>
      <c r="H10">
        <f t="shared" si="3"/>
        <v>4.7555000000000005</v>
      </c>
      <c r="I10">
        <f t="shared" si="4"/>
        <v>4.0717699999999999</v>
      </c>
    </row>
    <row r="11" spans="1:9" x14ac:dyDescent="0.25">
      <c r="A11" t="s">
        <v>17</v>
      </c>
      <c r="B11">
        <v>25.57</v>
      </c>
      <c r="C11">
        <f t="shared" si="0"/>
        <v>7.0000000000000007E-2</v>
      </c>
      <c r="D11">
        <f t="shared" si="1"/>
        <v>27.359900000000003</v>
      </c>
      <c r="E11">
        <v>0.13</v>
      </c>
      <c r="F11">
        <f t="shared" si="2"/>
        <v>23.803113000000003</v>
      </c>
      <c r="G11">
        <v>45.91</v>
      </c>
      <c r="H11">
        <f t="shared" si="3"/>
        <v>-18.550099999999993</v>
      </c>
      <c r="I11">
        <f t="shared" si="4"/>
        <v>-22.106886999999993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18</v>
      </c>
      <c r="B1" t="s">
        <v>19</v>
      </c>
    </row>
    <row r="2" spans="1:2" x14ac:dyDescent="0.25">
      <c r="A2" t="s">
        <v>20</v>
      </c>
      <c r="B2">
        <f>SUM(Precios_Impuestos!D2:D11)</f>
        <v>627.36240000000009</v>
      </c>
    </row>
    <row r="3" spans="1:2" x14ac:dyDescent="0.25">
      <c r="A3" t="s">
        <v>21</v>
      </c>
      <c r="B3">
        <f>SUM(Precios_Impuestos!D2:D11)-SUM(Precios_Impuestos!F2:F11)</f>
        <v>93.916682000000037</v>
      </c>
    </row>
    <row r="4" spans="1:2" x14ac:dyDescent="0.25">
      <c r="A4" t="s">
        <v>22</v>
      </c>
      <c r="B4">
        <f>SUM(Precios_Impuestos!G2:G11)</f>
        <v>245.67</v>
      </c>
    </row>
    <row r="5" spans="1:2" x14ac:dyDescent="0.25">
      <c r="A5" t="s">
        <v>23</v>
      </c>
      <c r="B5">
        <f>SUM(Precios_Impuestos!I2:I11)</f>
        <v>287.7757180000001</v>
      </c>
    </row>
    <row r="6" spans="1:2" x14ac:dyDescent="0.25">
      <c r="A6" t="s">
        <v>24</v>
      </c>
      <c r="B6">
        <f>AVERAGE(Precios_Impuestos!H2:H11)</f>
        <v>38.169240000000002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Precios_Impuestos</vt:lpstr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2026-03-14T15:48:47Z</dcterms:created>
  <dcterms:modified xsi:type="dcterms:W3CDTF">2026-03-14T15:50:29Z</dcterms:modified>
</cp:coreProperties>
</file>